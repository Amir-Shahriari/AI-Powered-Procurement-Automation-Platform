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 xmlns:r="http://schemas.openxmlformats.org/officeDocument/2006/relationships" name="Price" sheetId="2" state="visible" r:id="rId2"/>
    <sheet xmlns:r="http://schemas.openxmlformats.org/officeDocument/2006/relationships" name="Weigh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374151"/>
      </left>
      <right style="thin">
        <color rgb="00374151"/>
      </right>
      <top style="thin">
        <color rgb="00374151"/>
      </top>
      <bottom style="thin">
        <color rgb="00374151"/>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xf>
    <xf numFmtId="16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30" customWidth="1" min="1" max="1"/>
    <col width="21" customWidth="1" min="2" max="2"/>
    <col width="12" customWidth="1" min="3" max="3"/>
    <col width="33" customWidth="1" min="4" max="4"/>
    <col width="20" customWidth="1" min="5" max="5"/>
    <col width="10" customWidth="1" min="6" max="6"/>
    <col width="42" customWidth="1" min="7" max="7"/>
    <col width="18" customWidth="1" min="8" max="8"/>
    <col width="48" customWidth="1" min="9" max="9"/>
    <col width="25" customWidth="1" min="10" max="10"/>
  </cols>
  <sheetData>
    <row r="1">
      <c r="A1" s="1" t="inlineStr">
        <is>
          <t>Supplier</t>
        </is>
      </c>
      <c r="B1" s="1" t="inlineStr">
        <is>
          <t>Relevant Experience</t>
        </is>
      </c>
      <c r="C1" s="1" t="inlineStr">
        <is>
          <t>Capability</t>
        </is>
      </c>
      <c r="D1" s="1" t="inlineStr">
        <is>
          <t>Management &amp; Financial Capacity</t>
        </is>
      </c>
      <c r="E1" s="1" t="inlineStr">
        <is>
          <t>Quality Management</t>
        </is>
      </c>
      <c r="F1" s="1" t="inlineStr">
        <is>
          <t>WHS</t>
        </is>
      </c>
      <c r="G1" s="1" t="inlineStr">
        <is>
          <t>Sustainability and EEO &amp; Fair Employment</t>
        </is>
      </c>
      <c r="H1" s="1" t="inlineStr">
        <is>
          <t>Price (Weighted)</t>
        </is>
      </c>
      <c r="I1" s="1" t="inlineStr">
        <is>
          <t>Total (%)</t>
        </is>
      </c>
      <c r="J1" s="1" t="inlineStr">
        <is>
          <t>Rank</t>
        </is>
      </c>
    </row>
    <row r="2">
      <c r="A2" t="inlineStr">
        <is>
          <t>Weight (%)</t>
        </is>
      </c>
      <c r="B2" s="2" t="n">
        <v>12</v>
      </c>
      <c r="C2" s="2" t="n">
        <v>18</v>
      </c>
      <c r="D2" s="2" t="n">
        <v>7</v>
      </c>
      <c r="E2" s="2" t="n">
        <v>6</v>
      </c>
      <c r="F2" s="2" t="n">
        <v>7.5</v>
      </c>
      <c r="G2" s="2" t="n">
        <v>4.5</v>
      </c>
    </row>
    <row r="3">
      <c r="A3" t="inlineStr">
        <is>
          <t>Carrier Australia Pty Ltd</t>
        </is>
      </c>
      <c r="H3" s="2">
        <f>'Price'!F2</f>
        <v/>
      </c>
      <c r="I3" s="3">
        <f>ROUND(IFERROR((B3/5)*B2,0)+IFERROR((C3/5)*C2,0)+IFERROR((D3/5)*D2,0)+IFERROR((E3/5)*E2,0)+IFERROR((F3/5)*F2,0)+IFERROR((G3/5)*G2,0) + H3, 2)</f>
        <v/>
      </c>
      <c r="J3">
        <f>RANK(I3, $I$3:$I$4, 0)</f>
        <v/>
      </c>
    </row>
    <row r="4">
      <c r="A4" t="inlineStr">
        <is>
          <t>BMG Air Conditioning Pty Ltd</t>
        </is>
      </c>
      <c r="H4" s="2">
        <f>'Price'!F3</f>
        <v/>
      </c>
      <c r="I4" s="3">
        <f>ROUND(IFERROR((B4/5)*B2,0)+IFERROR((C4/5)*C2,0)+IFERROR((D4/5)*D2,0)+IFERROR((E4/5)*E2,0)+IFERROR((F4/5)*F2,0)+IFERROR((G4/5)*G2,0) + H4, 2)</f>
        <v/>
      </c>
      <c r="J4">
        <f>RANK(I4, $I$3:$I$4, 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0" customWidth="1" min="1" max="1"/>
    <col width="14" customWidth="1" min="2" max="2"/>
    <col width="36" customWidth="1" min="3" max="3"/>
    <col width="11" customWidth="1" min="4" max="4"/>
    <col width="18" customWidth="1" min="5" max="5"/>
    <col width="15" customWidth="1" min="6" max="6"/>
  </cols>
  <sheetData>
    <row r="1">
      <c r="A1" s="1" t="inlineStr">
        <is>
          <t>Supplier</t>
        </is>
      </c>
      <c r="B1" s="1" t="inlineStr">
        <is>
          <t>Pc (Total $)</t>
        </is>
      </c>
      <c r="C1" s="1" t="inlineStr">
        <is>
          <t>Ps</t>
        </is>
      </c>
      <c r="D1" s="1" t="inlineStr">
        <is>
          <t>Pn</t>
        </is>
      </c>
      <c r="E1" s="1" t="inlineStr">
        <is>
          <t>Price Weight (%)</t>
        </is>
      </c>
      <c r="F1" s="1" t="inlineStr">
        <is>
          <t>Pw (Weighted)</t>
        </is>
      </c>
    </row>
    <row r="2">
      <c r="A2" t="inlineStr">
        <is>
          <t>Carrier Australia Pty Ltd</t>
        </is>
      </c>
      <c r="B2" t="n">
        <v>247020.4</v>
      </c>
      <c r="C2">
        <f>200 - (B2 / AVERAGE(B2:B3) * 100)</f>
        <v/>
      </c>
      <c r="D2">
        <f>C2 / 200</f>
        <v/>
      </c>
      <c r="E2" t="n">
        <v>45</v>
      </c>
      <c r="F2">
        <f>D2 * E2</f>
        <v/>
      </c>
    </row>
    <row r="3">
      <c r="A3" t="inlineStr">
        <is>
          <t>BMG Air Conditioning Pty Ltd</t>
        </is>
      </c>
      <c r="B3" t="n">
        <v>211750</v>
      </c>
      <c r="C3">
        <f>200 - (B3 / AVERAGE(B2:B3) * 100)</f>
        <v/>
      </c>
      <c r="D3">
        <f>C3 / 200</f>
        <v/>
      </c>
      <c r="E3" t="n">
        <v>45</v>
      </c>
      <c r="F3">
        <f>D3 * E3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2" customWidth="1" min="1" max="1"/>
    <col width="12" customWidth="1" min="2" max="2"/>
    <col width="48" customWidth="1" min="3" max="3"/>
  </cols>
  <sheetData>
    <row r="1">
      <c r="A1" s="1" t="inlineStr">
        <is>
          <t>Criterion</t>
        </is>
      </c>
      <c r="B1" s="1" t="inlineStr">
        <is>
          <t>Weight (%)</t>
        </is>
      </c>
      <c r="C1" s="1" t="inlineStr">
        <is>
          <t>Rationale</t>
        </is>
      </c>
    </row>
    <row r="2">
      <c r="A2" t="inlineStr">
        <is>
          <t>Price (Full Cost)</t>
        </is>
      </c>
      <c r="B2" t="n">
        <v>45</v>
      </c>
      <c r="C2" t="inlineStr">
        <is>
          <t>Given the high value of this project with a significant investment over $249,999 and considering that cost is often one of the most critical factors in construction contracts due to its direct impact on budget constraints and financial planning</t>
        </is>
      </c>
    </row>
    <row r="3">
      <c r="A3" t="inlineStr">
        <is>
          <t>Relevant Experience</t>
        </is>
      </c>
      <c r="B3" t="n">
        <v>12</v>
      </c>
      <c r="C3" t="inlineStr">
        <is>
          <t>A substantial portion reflecting experience ensures competence; however, it's not as crucial for a project with high integration risk which requires strong technical skills over extensive past work history. Hence the weight is slightly lower but still significant to ensure quality execution within budget and timeline</t>
        </is>
      </c>
    </row>
    <row r="4">
      <c r="A4" t="inlineStr">
        <is>
          <t>Capability</t>
        </is>
      </c>
      <c r="B4" t="n">
        <v>18</v>
      </c>
      <c r="C4" t="inlineStr">
        <is>
          <t>Given that this contract involves complex systems like chillers (as indicated by 'has_chillers' being true), capability becomes a critical factor, hence it receives of the weighting. This ensures they can handle such specific requirements effectively and efficiently</t>
        </is>
      </c>
    </row>
    <row r="5">
      <c r="A5" t="inlineStr">
        <is>
          <t>Management &amp; Financial Capacity</t>
        </is>
      </c>
      <c r="B5" t="n">
        <v>7</v>
      </c>
      <c r="C5" t="inlineStr">
        <is>
          <t>A moderate allocation to ensure that bidders have enough financial resources for project management but not so high as to overshadow other critical factors like experience or capability, which are more directly related to the execution of a complex task such as this one. The weight is set at considering it's less crucial than technical and experiential aspects</t>
        </is>
      </c>
    </row>
    <row r="6">
      <c r="A6" t="inlineStr">
        <is>
          <t>Quality Management</t>
        </is>
      </c>
      <c r="B6" t="n">
        <v>6</v>
      </c>
      <c r="C6" t="inlineStr">
        <is>
          <t>Adegybeing essential for maintaining standards in construction projects but not quite on par with price or capability, hence the lower allocation of</t>
        </is>
      </c>
    </row>
    <row r="7">
      <c r="A7" t="inlineStr">
        <is>
          <t>WHS</t>
        </is>
      </c>
      <c r="B7" t="n">
        <v>7.5</v>
      </c>
      <c r="C7" t="inlineStr">
        <is>
          <t>Safety-critical activities demand strong WHS (risk level 3). Final weight used: 7.5%.</t>
        </is>
      </c>
    </row>
    <row r="8">
      <c r="A8" t="inlineStr">
        <is>
          <t>Sustainability and EEO &amp; Fair Employment</t>
        </is>
      </c>
      <c r="B8" t="n">
        <v>4.5</v>
      </c>
      <c r="C8" t="inlineStr">
        <is>
          <t>Council policy ties Sustainability/EEO to 10% of the Price weighting. Price is 45.0%, so Sustainability is 4.5%. Final weight used: 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2025-09-07T02:17:51Z</dcterms:created>
  <dcterms:modified xmlns:dcterms="http://purl.org/dc/terms/" xmlns:xsi="http://www.w3.org/2001/XMLSchema-instance" xsi:type="dcterms:W3CDTF">2025-09-07T02:17:51Z</dcterms:modified>
</cp:coreProperties>
</file>